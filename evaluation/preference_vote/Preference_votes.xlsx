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ina/Documents/6_Semester/CL_Media_Accessibility_Seminar/Code_clean/on_github/evaluation/"/>
    </mc:Choice>
  </mc:AlternateContent>
  <xr:revisionPtr revIDLastSave="0" documentId="13_ncr:1_{AF014667-7F05-7148-BBAC-9DB7ED89C7B8}" xr6:coauthVersionLast="47" xr6:coauthVersionMax="47" xr10:uidLastSave="{00000000-0000-0000-0000-000000000000}"/>
  <bookViews>
    <workbookView xWindow="-80" yWindow="1000" windowWidth="38400" windowHeight="19620" xr2:uid="{F3260087-7213-514A-8FC7-8DC3446B2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J34" i="1"/>
  <c r="H34" i="1"/>
  <c r="G34" i="1"/>
  <c r="E34" i="1"/>
  <c r="O34" i="1" s="1"/>
  <c r="D34" i="1"/>
  <c r="H33" i="1"/>
  <c r="J33" i="1"/>
  <c r="G33" i="1"/>
  <c r="K33" i="1"/>
  <c r="E33" i="1"/>
  <c r="D33" i="1"/>
  <c r="M33" i="1" s="1"/>
  <c r="O33" i="1" l="1"/>
  <c r="M34" i="1"/>
  <c r="N33" i="1"/>
  <c r="N34" i="1"/>
  <c r="P33" i="1"/>
  <c r="P34" i="1"/>
</calcChain>
</file>

<file path=xl/sharedStrings.xml><?xml version="1.0" encoding="utf-8"?>
<sst xmlns="http://schemas.openxmlformats.org/spreadsheetml/2006/main" count="51" uniqueCount="45">
  <si>
    <t>end2end is 1</t>
  </si>
  <si>
    <t>pipeline is 2</t>
  </si>
  <si>
    <t>id</t>
  </si>
  <si>
    <t>3281</t>
  </si>
  <si>
    <t>3434</t>
  </si>
  <si>
    <t>5413</t>
  </si>
  <si>
    <t>3432</t>
  </si>
  <si>
    <t>4002</t>
  </si>
  <si>
    <t>3261</t>
  </si>
  <si>
    <t>3266</t>
  </si>
  <si>
    <t>3303</t>
  </si>
  <si>
    <t>5790</t>
  </si>
  <si>
    <t>4345</t>
  </si>
  <si>
    <t>5457</t>
  </si>
  <si>
    <t>5412</t>
  </si>
  <si>
    <t>5387</t>
  </si>
  <si>
    <t>3447</t>
  </si>
  <si>
    <t>3441</t>
  </si>
  <si>
    <t>5372</t>
  </si>
  <si>
    <t>4015</t>
  </si>
  <si>
    <t>3462</t>
  </si>
  <si>
    <t>3256</t>
  </si>
  <si>
    <t>3423</t>
  </si>
  <si>
    <t>5419</t>
  </si>
  <si>
    <t>3560</t>
  </si>
  <si>
    <t>5476</t>
  </si>
  <si>
    <t>3222</t>
  </si>
  <si>
    <t>3223</t>
  </si>
  <si>
    <t>5785</t>
  </si>
  <si>
    <t>3562</t>
  </si>
  <si>
    <t>gemma_lang</t>
  </si>
  <si>
    <t>gemma_mark</t>
  </si>
  <si>
    <t>gemma</t>
  </si>
  <si>
    <t>leo_lang</t>
  </si>
  <si>
    <t>leo_mark</t>
  </si>
  <si>
    <t>leo</t>
  </si>
  <si>
    <t>chatGPT_lang</t>
  </si>
  <si>
    <t>charGPT_mark</t>
  </si>
  <si>
    <t>chatGPT</t>
  </si>
  <si>
    <t>Simplified language</t>
  </si>
  <si>
    <t>Highlights</t>
  </si>
  <si>
    <t>Both</t>
  </si>
  <si>
    <t>all texts</t>
  </si>
  <si>
    <t>texts without Nan answers</t>
  </si>
  <si>
    <t>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</si>
</sst>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0" borderId="2" xfId="0" applyFont="1" applyBorder="1" applyAlignment="1">
      <alignment horizontal="center" vertical="top"/>
    </xf>
    <xf numFmtId="0" fontId="3" fillId="0" borderId="2" xfId="0" applyFont="1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0" fontId="0" fillId="0" borderId="0" xfId="1" applyNumberFormat="1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C686-8FAE-404F-BC2A-5DE2502E7C53}">
  <dimension ref="A1:Q34"/>
  <sheetViews>
    <sheetView tabSelected="1" workbookViewId="0">
      <selection activeCell="O39" sqref="O39"/>
    </sheetView>
  </sheetViews>
  <sheetFormatPr baseColWidth="10" defaultRowHeight="16" x14ac:dyDescent="0.2"/>
  <cols>
    <col min="2" max="19" width="10.83203125" customWidth="1"/>
  </cols>
  <sheetData>
    <row r="1" spans="1:17" x14ac:dyDescent="0.2">
      <c r="A1" s="1" t="s">
        <v>2</v>
      </c>
      <c r="B1" s="4" t="s">
        <v>36</v>
      </c>
      <c r="C1" s="5" t="s">
        <v>30</v>
      </c>
      <c r="D1" s="5" t="s">
        <v>33</v>
      </c>
      <c r="E1" s="4" t="s">
        <v>37</v>
      </c>
      <c r="F1" s="5" t="s">
        <v>31</v>
      </c>
      <c r="G1" s="5" t="s">
        <v>34</v>
      </c>
      <c r="H1" s="4" t="s">
        <v>38</v>
      </c>
      <c r="I1" s="5" t="s">
        <v>32</v>
      </c>
      <c r="J1" s="5" t="s">
        <v>35</v>
      </c>
      <c r="K1" s="5"/>
      <c r="L1" s="5"/>
      <c r="M1" s="5"/>
      <c r="N1" s="5"/>
      <c r="O1" s="5"/>
      <c r="P1" s="5"/>
      <c r="Q1" s="5"/>
    </row>
    <row r="2" spans="1:17" x14ac:dyDescent="0.2">
      <c r="A2" s="3" t="s">
        <v>3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</row>
    <row r="3" spans="1:17" x14ac:dyDescent="0.2">
      <c r="A3" s="3" t="s">
        <v>4</v>
      </c>
      <c r="B3">
        <v>2</v>
      </c>
      <c r="C3">
        <v>2</v>
      </c>
      <c r="D3">
        <v>1</v>
      </c>
      <c r="E3">
        <v>2</v>
      </c>
      <c r="F3">
        <v>1</v>
      </c>
      <c r="G3">
        <v>2</v>
      </c>
      <c r="H3">
        <v>2</v>
      </c>
      <c r="I3">
        <v>1</v>
      </c>
      <c r="J3">
        <v>2</v>
      </c>
    </row>
    <row r="4" spans="1:17" x14ac:dyDescent="0.2">
      <c r="A4" s="3" t="s">
        <v>5</v>
      </c>
      <c r="B4">
        <v>1</v>
      </c>
      <c r="C4">
        <v>1</v>
      </c>
      <c r="D4">
        <v>1</v>
      </c>
      <c r="E4">
        <v>1</v>
      </c>
      <c r="F4">
        <v>2</v>
      </c>
      <c r="G4">
        <v>1</v>
      </c>
      <c r="H4">
        <v>1</v>
      </c>
      <c r="I4">
        <v>1</v>
      </c>
      <c r="J4">
        <v>1</v>
      </c>
    </row>
    <row r="5" spans="1:17" x14ac:dyDescent="0.2">
      <c r="A5" s="3" t="s">
        <v>6</v>
      </c>
      <c r="B5">
        <v>2</v>
      </c>
      <c r="C5">
        <v>2</v>
      </c>
      <c r="E5">
        <v>1</v>
      </c>
      <c r="F5">
        <v>2</v>
      </c>
      <c r="H5">
        <v>1</v>
      </c>
      <c r="I5">
        <v>2</v>
      </c>
    </row>
    <row r="6" spans="1:17" x14ac:dyDescent="0.2">
      <c r="A6" s="3" t="s">
        <v>7</v>
      </c>
      <c r="B6">
        <v>2</v>
      </c>
      <c r="C6">
        <v>2</v>
      </c>
      <c r="D6">
        <v>2</v>
      </c>
      <c r="E6">
        <v>1</v>
      </c>
      <c r="F6">
        <v>1</v>
      </c>
      <c r="G6">
        <v>2</v>
      </c>
      <c r="H6">
        <v>2</v>
      </c>
      <c r="I6">
        <v>2</v>
      </c>
      <c r="J6">
        <v>2</v>
      </c>
    </row>
    <row r="7" spans="1:17" x14ac:dyDescent="0.2">
      <c r="A7" s="3" t="s">
        <v>8</v>
      </c>
      <c r="B7">
        <v>2</v>
      </c>
      <c r="C7">
        <v>1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</row>
    <row r="8" spans="1:17" x14ac:dyDescent="0.2">
      <c r="A8" s="3" t="s">
        <v>9</v>
      </c>
      <c r="B8">
        <v>2</v>
      </c>
      <c r="C8">
        <v>2</v>
      </c>
      <c r="D8">
        <v>1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</row>
    <row r="9" spans="1:17" x14ac:dyDescent="0.2">
      <c r="A9" s="3" t="s">
        <v>10</v>
      </c>
      <c r="B9">
        <v>2</v>
      </c>
      <c r="C9">
        <v>2</v>
      </c>
      <c r="D9">
        <v>1</v>
      </c>
      <c r="E9">
        <v>2</v>
      </c>
      <c r="F9">
        <v>1</v>
      </c>
      <c r="G9">
        <v>2</v>
      </c>
      <c r="H9">
        <v>2</v>
      </c>
      <c r="I9">
        <v>2</v>
      </c>
      <c r="J9">
        <v>2</v>
      </c>
    </row>
    <row r="10" spans="1:17" x14ac:dyDescent="0.2">
      <c r="A10" s="3" t="s">
        <v>11</v>
      </c>
      <c r="B10">
        <v>1</v>
      </c>
      <c r="C10">
        <v>2</v>
      </c>
      <c r="D10">
        <v>1</v>
      </c>
      <c r="E10">
        <v>1</v>
      </c>
      <c r="F10">
        <v>1</v>
      </c>
      <c r="G10">
        <v>2</v>
      </c>
      <c r="H10">
        <v>1</v>
      </c>
      <c r="I10">
        <v>1</v>
      </c>
      <c r="J10">
        <v>2</v>
      </c>
    </row>
    <row r="11" spans="1:17" x14ac:dyDescent="0.2">
      <c r="A11" s="3" t="s">
        <v>12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</row>
    <row r="12" spans="1:17" x14ac:dyDescent="0.2">
      <c r="A12" s="3" t="s">
        <v>13</v>
      </c>
      <c r="B12">
        <v>1</v>
      </c>
      <c r="E12">
        <v>1</v>
      </c>
      <c r="H12">
        <v>1</v>
      </c>
    </row>
    <row r="13" spans="1:17" x14ac:dyDescent="0.2">
      <c r="A13" s="3" t="s">
        <v>14</v>
      </c>
      <c r="B13">
        <v>1</v>
      </c>
      <c r="C13">
        <v>2</v>
      </c>
      <c r="D13">
        <v>1</v>
      </c>
      <c r="E13">
        <v>2</v>
      </c>
      <c r="F13">
        <v>1</v>
      </c>
      <c r="G13">
        <v>2</v>
      </c>
      <c r="H13">
        <v>2</v>
      </c>
      <c r="I13">
        <v>2</v>
      </c>
      <c r="J13">
        <v>2</v>
      </c>
    </row>
    <row r="14" spans="1:17" x14ac:dyDescent="0.2">
      <c r="A14" s="3" t="s">
        <v>15</v>
      </c>
      <c r="B14">
        <v>2</v>
      </c>
      <c r="C14">
        <v>2</v>
      </c>
      <c r="D14">
        <v>1</v>
      </c>
      <c r="E14">
        <v>2</v>
      </c>
      <c r="F14">
        <v>1</v>
      </c>
      <c r="G14">
        <v>2</v>
      </c>
      <c r="H14">
        <v>2</v>
      </c>
      <c r="I14">
        <v>2</v>
      </c>
      <c r="J14">
        <v>1</v>
      </c>
    </row>
    <row r="15" spans="1:17" x14ac:dyDescent="0.2">
      <c r="A15" s="3" t="s">
        <v>16</v>
      </c>
      <c r="B15">
        <v>1</v>
      </c>
      <c r="C15">
        <v>1</v>
      </c>
      <c r="E15">
        <v>2</v>
      </c>
      <c r="F15">
        <v>2</v>
      </c>
      <c r="H15">
        <v>1</v>
      </c>
      <c r="I15">
        <v>2</v>
      </c>
    </row>
    <row r="16" spans="1:17" x14ac:dyDescent="0.2">
      <c r="A16" s="3" t="s">
        <v>17</v>
      </c>
      <c r="B16">
        <v>2</v>
      </c>
      <c r="C16">
        <v>2</v>
      </c>
      <c r="D16">
        <v>1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</row>
    <row r="17" spans="1:16" x14ac:dyDescent="0.2">
      <c r="A17" s="3" t="s">
        <v>18</v>
      </c>
      <c r="B17">
        <v>1</v>
      </c>
      <c r="C17">
        <v>1</v>
      </c>
      <c r="D17">
        <v>1</v>
      </c>
      <c r="E17">
        <v>1</v>
      </c>
      <c r="F17">
        <v>2</v>
      </c>
      <c r="G17">
        <v>2</v>
      </c>
      <c r="H17">
        <v>1</v>
      </c>
      <c r="I17">
        <v>2</v>
      </c>
      <c r="J17">
        <v>2</v>
      </c>
    </row>
    <row r="18" spans="1:16" x14ac:dyDescent="0.2">
      <c r="A18" s="3" t="s">
        <v>19</v>
      </c>
      <c r="B18">
        <v>1</v>
      </c>
      <c r="C18">
        <v>2</v>
      </c>
      <c r="D18">
        <v>2</v>
      </c>
      <c r="E18">
        <v>1</v>
      </c>
      <c r="F18">
        <v>1</v>
      </c>
      <c r="G18">
        <v>2</v>
      </c>
      <c r="H18">
        <v>1</v>
      </c>
      <c r="I18">
        <v>1</v>
      </c>
      <c r="J18">
        <v>2</v>
      </c>
    </row>
    <row r="19" spans="1:16" x14ac:dyDescent="0.2">
      <c r="A19" s="3" t="s">
        <v>20</v>
      </c>
      <c r="B19">
        <v>1</v>
      </c>
      <c r="C19">
        <v>2</v>
      </c>
      <c r="D19">
        <v>1</v>
      </c>
      <c r="E19">
        <v>1</v>
      </c>
      <c r="F19">
        <v>1</v>
      </c>
      <c r="G19">
        <v>2</v>
      </c>
      <c r="H19">
        <v>1</v>
      </c>
      <c r="I19">
        <v>2</v>
      </c>
      <c r="J19">
        <v>2</v>
      </c>
    </row>
    <row r="20" spans="1:16" x14ac:dyDescent="0.2">
      <c r="A20" s="3" t="s">
        <v>21</v>
      </c>
      <c r="B20">
        <v>2</v>
      </c>
      <c r="C20">
        <v>2</v>
      </c>
      <c r="D20">
        <v>1</v>
      </c>
      <c r="E20">
        <v>2</v>
      </c>
      <c r="F20">
        <v>1</v>
      </c>
      <c r="G20">
        <v>1</v>
      </c>
      <c r="H20">
        <v>2</v>
      </c>
      <c r="I20">
        <v>1</v>
      </c>
      <c r="J20">
        <v>1</v>
      </c>
    </row>
    <row r="21" spans="1:16" x14ac:dyDescent="0.2">
      <c r="A21" s="3" t="s">
        <v>22</v>
      </c>
      <c r="B21">
        <v>2</v>
      </c>
      <c r="C21">
        <v>2</v>
      </c>
      <c r="D21">
        <v>2</v>
      </c>
      <c r="E21">
        <v>2</v>
      </c>
      <c r="F21">
        <v>1</v>
      </c>
      <c r="G21">
        <v>2</v>
      </c>
      <c r="H21">
        <v>2</v>
      </c>
      <c r="I21">
        <v>1</v>
      </c>
      <c r="J21">
        <v>2</v>
      </c>
    </row>
    <row r="22" spans="1:16" x14ac:dyDescent="0.2">
      <c r="A22" s="3" t="s">
        <v>23</v>
      </c>
      <c r="B22">
        <v>1</v>
      </c>
      <c r="C22">
        <v>2</v>
      </c>
      <c r="D22">
        <v>1</v>
      </c>
      <c r="E22">
        <v>1</v>
      </c>
      <c r="F22">
        <v>1</v>
      </c>
      <c r="G22">
        <v>2</v>
      </c>
      <c r="H22">
        <v>1</v>
      </c>
      <c r="I22">
        <v>1</v>
      </c>
      <c r="J22">
        <v>1</v>
      </c>
    </row>
    <row r="23" spans="1:16" x14ac:dyDescent="0.2">
      <c r="A23" s="3" t="s">
        <v>24</v>
      </c>
      <c r="B23">
        <v>2</v>
      </c>
      <c r="C23">
        <v>2</v>
      </c>
      <c r="D23">
        <v>2</v>
      </c>
      <c r="E23">
        <v>1</v>
      </c>
      <c r="F23">
        <v>1</v>
      </c>
      <c r="G23">
        <v>1</v>
      </c>
      <c r="H23">
        <v>2</v>
      </c>
      <c r="I23">
        <v>2</v>
      </c>
      <c r="J23">
        <v>2</v>
      </c>
    </row>
    <row r="24" spans="1:16" x14ac:dyDescent="0.2">
      <c r="A24" s="3" t="s">
        <v>25</v>
      </c>
      <c r="B24">
        <v>2</v>
      </c>
      <c r="C24">
        <v>2</v>
      </c>
      <c r="D24">
        <v>1</v>
      </c>
      <c r="E24">
        <v>1</v>
      </c>
      <c r="F24">
        <v>1</v>
      </c>
      <c r="G24">
        <v>2</v>
      </c>
      <c r="H24">
        <v>2</v>
      </c>
      <c r="I24">
        <v>2</v>
      </c>
      <c r="J24">
        <v>1</v>
      </c>
    </row>
    <row r="25" spans="1:16" x14ac:dyDescent="0.2">
      <c r="A25" s="3" t="s">
        <v>26</v>
      </c>
      <c r="B25">
        <v>2</v>
      </c>
      <c r="C25">
        <v>1</v>
      </c>
      <c r="D25">
        <v>2</v>
      </c>
      <c r="E25">
        <v>1</v>
      </c>
      <c r="F25">
        <v>2</v>
      </c>
      <c r="G25">
        <v>2</v>
      </c>
      <c r="H25">
        <v>2</v>
      </c>
      <c r="I25">
        <v>1</v>
      </c>
      <c r="J25">
        <v>2</v>
      </c>
    </row>
    <row r="26" spans="1:16" x14ac:dyDescent="0.2">
      <c r="A26" s="3" t="s">
        <v>27</v>
      </c>
      <c r="B26">
        <v>2</v>
      </c>
      <c r="C26">
        <v>2</v>
      </c>
      <c r="D26">
        <v>2</v>
      </c>
      <c r="E26">
        <v>1</v>
      </c>
      <c r="F26">
        <v>1</v>
      </c>
      <c r="G26">
        <v>1</v>
      </c>
      <c r="H26">
        <v>2</v>
      </c>
      <c r="I26">
        <v>1</v>
      </c>
      <c r="J26">
        <v>2</v>
      </c>
    </row>
    <row r="27" spans="1:16" x14ac:dyDescent="0.2">
      <c r="A27" s="3" t="s">
        <v>28</v>
      </c>
      <c r="B27">
        <v>2</v>
      </c>
      <c r="C27">
        <v>2</v>
      </c>
      <c r="E27">
        <v>2</v>
      </c>
      <c r="F27">
        <v>2</v>
      </c>
      <c r="H27">
        <v>2</v>
      </c>
      <c r="I27">
        <v>2</v>
      </c>
    </row>
    <row r="28" spans="1:16" x14ac:dyDescent="0.2">
      <c r="A28" s="3" t="s">
        <v>29</v>
      </c>
      <c r="B28">
        <v>1</v>
      </c>
      <c r="C28">
        <v>2</v>
      </c>
      <c r="D28">
        <v>2</v>
      </c>
      <c r="E28">
        <v>1</v>
      </c>
      <c r="F28">
        <v>1</v>
      </c>
      <c r="G28">
        <v>2</v>
      </c>
      <c r="H28">
        <v>1</v>
      </c>
      <c r="I28">
        <v>1</v>
      </c>
      <c r="J28">
        <v>2</v>
      </c>
    </row>
    <row r="31" spans="1:16" x14ac:dyDescent="0.2">
      <c r="C31" s="2"/>
      <c r="D31" s="10" t="s">
        <v>39</v>
      </c>
      <c r="E31" s="6"/>
      <c r="F31" s="6"/>
      <c r="G31" s="10" t="s">
        <v>40</v>
      </c>
      <c r="H31" s="6"/>
      <c r="I31" s="6"/>
      <c r="J31" s="10" t="s">
        <v>41</v>
      </c>
      <c r="K31" s="6"/>
      <c r="L31" s="6"/>
      <c r="M31" s="10" t="s">
        <v>44</v>
      </c>
      <c r="N31" s="6"/>
      <c r="O31" s="6"/>
      <c r="P31" s="2"/>
    </row>
    <row r="32" spans="1:16" x14ac:dyDescent="0.2">
      <c r="C32" s="12"/>
      <c r="D32" s="9" t="s">
        <v>42</v>
      </c>
      <c r="E32" s="13" t="s">
        <v>43</v>
      </c>
      <c r="F32" s="13"/>
      <c r="G32" s="9" t="s">
        <v>42</v>
      </c>
      <c r="H32" s="13" t="s">
        <v>43</v>
      </c>
      <c r="I32" s="13"/>
      <c r="J32" s="9" t="s">
        <v>42</v>
      </c>
      <c r="K32" s="13" t="s">
        <v>43</v>
      </c>
      <c r="L32" s="13"/>
      <c r="M32" s="7" t="s">
        <v>42</v>
      </c>
      <c r="N32" s="13"/>
      <c r="O32" s="13" t="s">
        <v>43</v>
      </c>
      <c r="P32" s="13"/>
    </row>
    <row r="33" spans="1:16" x14ac:dyDescent="0.2">
      <c r="A33" t="s">
        <v>0</v>
      </c>
      <c r="C33" s="12">
        <v>1</v>
      </c>
      <c r="D33" s="9">
        <f>COUNTIF(B2:D28,1)</f>
        <v>28</v>
      </c>
      <c r="E33" s="13">
        <f xml:space="preserve"> COUNTIF(B2:D4, 1) + COUNTIF(B6:D11, 1) + COUNTIF(B13:D14, 1) + COUNTIF(B16:D26, 1) + COUNTIF(B28:D28, 1)</f>
        <v>25</v>
      </c>
      <c r="F33" s="8"/>
      <c r="G33" s="9">
        <f>COUNTIF(E2:G28,1)</f>
        <v>33</v>
      </c>
      <c r="H33" s="13">
        <f xml:space="preserve"> COUNTIF(E2:G4, 1) + COUNTIF(E6:G11, 1) + COUNTIF(E13:G14, 1) + COUNTIF(E16:G26, 1) + COUNTIF(E28:G28, 1)</f>
        <v>31</v>
      </c>
      <c r="I33" s="8"/>
      <c r="J33" s="9">
        <f>COUNTIF(H2:J28,1)</f>
        <v>25</v>
      </c>
      <c r="K33" s="13">
        <f xml:space="preserve"> COUNTIF(H2:J4, 1) + COUNTIF(H6:J11, 1) + COUNTIF(H13:J14, 1) + COUNTIF(H16:J26, 1) + COUNTIF(H28:J28, 1)</f>
        <v>22</v>
      </c>
      <c r="L33" s="8"/>
      <c r="M33" s="9">
        <f>SUM(D33, G33, J33)</f>
        <v>86</v>
      </c>
      <c r="N33" s="14">
        <f>SUM(D33, G33, J33) /(3* SUM(D33:D34))</f>
        <v>0.37719298245614036</v>
      </c>
      <c r="O33" s="11">
        <f>SUM(E33, H33, K33)</f>
        <v>78</v>
      </c>
      <c r="P33" s="14">
        <f>SUM(E33, H33, K33) /(3* SUM(E33:E34))</f>
        <v>0.37681159420289856</v>
      </c>
    </row>
    <row r="34" spans="1:16" x14ac:dyDescent="0.2">
      <c r="A34" t="s">
        <v>1</v>
      </c>
      <c r="C34" s="12">
        <v>2</v>
      </c>
      <c r="D34" s="9">
        <f>COUNTIF(B2:D28,2)</f>
        <v>48</v>
      </c>
      <c r="E34" s="13">
        <f xml:space="preserve"> COUNTIF(B2:D4, 2) + COUNTIF(B6:D11, 2) + COUNTIF(B13:D14, 2) + COUNTIF(B16:D26, 2) + COUNTIF(B28:D28, 2)</f>
        <v>44</v>
      </c>
      <c r="F34" s="8"/>
      <c r="G34" s="9">
        <f>COUNTIF(E2:G28,2)</f>
        <v>43</v>
      </c>
      <c r="H34" s="13">
        <f xml:space="preserve"> COUNTIF(E2:G4, 2) + COUNTIF(E6:G11, 2) + COUNTIF(E13:G14, 2) + COUNTIF(E16:G26, 2) + COUNTIF(E28:G28, 2)</f>
        <v>38</v>
      </c>
      <c r="I34" s="8"/>
      <c r="J34" s="9">
        <f>COUNTIF(H2:J28,2)</f>
        <v>51</v>
      </c>
      <c r="K34" s="13">
        <f xml:space="preserve"> COUNTIF(H2:J4, 2) + COUNTIF(H6:J11, 2) + COUNTIF(H13:J14, 2) + COUNTIF(H16:J26, 2) + COUNTIF(H28:J28, 2)</f>
        <v>47</v>
      </c>
      <c r="L34" s="8"/>
      <c r="M34" s="9">
        <f>SUM(D34, G34, J34)</f>
        <v>142</v>
      </c>
      <c r="N34" s="14">
        <f>SUM(D34, G34, J34) /(3* SUM(D33:D34))</f>
        <v>0.6228070175438597</v>
      </c>
      <c r="O34" s="11">
        <f>SUM(E34, H34, K34)</f>
        <v>129</v>
      </c>
      <c r="P34" s="14">
        <f>SUM(E34, H34, K34) /(3* SUM(E33:E34))</f>
        <v>0.62318840579710144</v>
      </c>
    </row>
  </sheetData>
  <mergeCells count="15">
    <mergeCell ref="E34:F34"/>
    <mergeCell ref="E32:F32"/>
    <mergeCell ref="D31:F31"/>
    <mergeCell ref="J31:L31"/>
    <mergeCell ref="M31:O31"/>
    <mergeCell ref="G31:I31"/>
    <mergeCell ref="M32:N32"/>
    <mergeCell ref="O32:P32"/>
    <mergeCell ref="E33:F33"/>
    <mergeCell ref="K32:L32"/>
    <mergeCell ref="H33:I33"/>
    <mergeCell ref="H34:I34"/>
    <mergeCell ref="K33:L33"/>
    <mergeCell ref="K34:L34"/>
    <mergeCell ref="H32:I32"/>
  </mergeCells>
  <conditionalFormatting sqref="C33:C34 B2:Q28">
    <cfRule type="colorScale" priority="10">
      <colorScale>
        <cfvo type="num" val="1"/>
        <cfvo type="num" val="2"/>
        <color theme="8" tint="0.59999389629810485"/>
        <color theme="7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Corina Julia Raclé</dc:creator>
  <cp:lastModifiedBy>Corina Julia Raclé</cp:lastModifiedBy>
  <dcterms:created xsi:type="dcterms:W3CDTF">2025-11-19T17:01:37Z</dcterms:created>
  <dcterms:modified xsi:type="dcterms:W3CDTF">2026-01-02T17:03:06Z</dcterms:modified>
</cp:coreProperties>
</file>